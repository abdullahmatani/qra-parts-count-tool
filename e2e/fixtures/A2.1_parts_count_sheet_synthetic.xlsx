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CountSheet" state="visible" r:id="rId4"/>
  </sheets>
  <calcPr calcId="171027"/>
</workbook>
</file>

<file path=xl/sharedStrings.xml><?xml version="1.0" encoding="utf-8"?>
<sst xmlns="http://schemas.openxmlformats.org/spreadsheetml/2006/main" count="85" uniqueCount="69">
  <si>
    <t>Results</t>
  </si>
  <si>
    <t>Hole mm</t>
  </si>
  <si>
    <t>Freq/yr</t>
  </si>
  <si>
    <t>Isolatable section ID</t>
  </si>
  <si>
    <t>Isolatable ID Description</t>
  </si>
  <si>
    <t xml:space="preserve">Object/Equipment </t>
  </si>
  <si>
    <t>PEFS numbers used</t>
  </si>
  <si>
    <t>Stream Number</t>
  </si>
  <si>
    <t>Operating Pressure</t>
  </si>
  <si>
    <t>bara</t>
  </si>
  <si>
    <t xml:space="preserve">Operating Temperature </t>
  </si>
  <si>
    <t>C</t>
  </si>
  <si>
    <t>Phase (Liquid/Gas)</t>
  </si>
  <si>
    <t xml:space="preserve">H2S Concentration </t>
  </si>
  <si>
    <t xml:space="preserve">mole fraction </t>
  </si>
  <si>
    <t xml:space="preserve">Mol.Weight/Density </t>
  </si>
  <si>
    <t>(Put Molecular wt. for Gases &amp; Density in kg/m3 for Liquids)</t>
  </si>
  <si>
    <t xml:space="preserve">  Diameter</t>
  </si>
  <si>
    <t>Number of</t>
  </si>
  <si>
    <t>Number of Valves</t>
  </si>
  <si>
    <t>Number</t>
  </si>
  <si>
    <t xml:space="preserve">Number of </t>
  </si>
  <si>
    <t>Length</t>
  </si>
  <si>
    <t>instrument</t>
  </si>
  <si>
    <t>of</t>
  </si>
  <si>
    <t>flanged</t>
  </si>
  <si>
    <t>small bore</t>
  </si>
  <si>
    <t>Manual</t>
  </si>
  <si>
    <t>Actuated</t>
  </si>
  <si>
    <t>Flanges</t>
  </si>
  <si>
    <t>joints</t>
  </si>
  <si>
    <t>Pipes</t>
  </si>
  <si>
    <t>per item</t>
  </si>
  <si>
    <t>per flange face</t>
  </si>
  <si>
    <t>per joint</t>
  </si>
  <si>
    <t>per meter</t>
  </si>
  <si>
    <t>&lt;=1/2"</t>
  </si>
  <si>
    <t>1/2" &lt;= 1"</t>
  </si>
  <si>
    <t>&gt;1"</t>
  </si>
  <si>
    <t>&lt;=1</t>
  </si>
  <si>
    <t>1" &lt;= 2"</t>
  </si>
  <si>
    <t>2" &lt;= 3"</t>
  </si>
  <si>
    <t>3" &lt;= 11"</t>
  </si>
  <si>
    <t>&gt;11"</t>
  </si>
  <si>
    <t>Freq</t>
  </si>
  <si>
    <t>Compressors centrifugal</t>
  </si>
  <si>
    <t>Per Item</t>
  </si>
  <si>
    <t>Compressors reciprocating</t>
  </si>
  <si>
    <t>Fin fan coolers</t>
  </si>
  <si>
    <t>Heat exchangersHC in shell</t>
  </si>
  <si>
    <t>Heat exchangers HC in tube</t>
  </si>
  <si>
    <t>Pressure vessel</t>
  </si>
  <si>
    <t>Pumps centrifugal (Double Seal)</t>
  </si>
  <si>
    <t>Pumps centrifugal (Single Seal)</t>
  </si>
  <si>
    <t>Pumps reciprocating</t>
  </si>
  <si>
    <t>Pipeline onshore / steel</t>
  </si>
  <si>
    <t>Per m length</t>
  </si>
  <si>
    <t>Pig launchers/receivers</t>
  </si>
  <si>
    <t>Xmas trees (&lt;5000 psi)</t>
  </si>
  <si>
    <t>Xmas trees (&gt;5000 psi)</t>
  </si>
  <si>
    <t>Plate &amp; Frame HE</t>
  </si>
  <si>
    <t>Small bore</t>
  </si>
  <si>
    <t>valve man</t>
  </si>
  <si>
    <t>Valve act</t>
  </si>
  <si>
    <t>Joints</t>
  </si>
  <si>
    <t>pipes</t>
  </si>
  <si>
    <t>Notes</t>
  </si>
  <si>
    <t>Liquid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</si>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</sst>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 applyProtection="1">
      <protection locked="0"/>
    </xf>
    <xf numFmtId="49" fontId="0" fillId="2" borderId="0" xfId="0" applyNumberForma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7"/>
  <sheetViews>
    <sheetView workbookViewId="0" zoomScale="70"/>
  </sheetViews>
  <sheetFormatPr defaultRowHeight="15" outlineLevelRow="0" outlineLevelCol="0" x14ac:dyDescent="55"/>
  <cols>
    <col min="1" max="1" width="32.6" customWidth="1"/>
    <col min="2" max="2" width="17.1" customWidth="1"/>
    <col min="3" max="3" width="13" customWidth="1"/>
    <col min="4" max="4" width="11.4" customWidth="1"/>
    <col min="5" max="5" width="15.4" customWidth="1"/>
    <col min="6" max="7" width="12.6" customWidth="1"/>
    <col min="8" max="8" width="9" hidden="1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  <col min="15" max="15" width="9" hidden="1" customWidth="1"/>
    <col min="16" max="16" width="9" hidden="1" customWidth="1"/>
    <col min="17" max="17" width="9" hidden="1" customWidth="1"/>
    <col min="18" max="18" width="9" hidden="1" customWidth="1"/>
    <col min="19" max="19" width="9" hidden="1" customWidth="1"/>
  </cols>
  <sheetData>
    <row r="1" spans="1:7" x14ac:dyDescent="0.25">
      <c r="A1" t="s">
        <v>0</v>
      </c>
      <c r="B1" t="s">
        <v>1</v>
      </c>
      <c r="C1">
        <f>I27</f>
      </c>
      <c r="D1">
        <f>J27</f>
      </c>
      <c r="E1">
        <f>K27</f>
      </c>
      <c r="F1">
        <f>L27</f>
      </c>
      <c r="G1">
        <f>M27</f>
      </c>
    </row>
    <row r="2" spans="2:7" x14ac:dyDescent="0.25">
      <c r="B2" t="s">
        <v>2</v>
      </c>
      <c r="C2" s="1">
        <f>SUM(N28:N71)</f>
      </c>
      <c r="D2" s="1">
        <f>SUM(O28:O71)</f>
      </c>
      <c r="E2" s="1">
        <f>SUM(P28:P71)</f>
      </c>
      <c r="F2" s="1">
        <f>SUM(Q28:Q71)</f>
      </c>
      <c r="G2" s="1">
        <f>SUM(R28:R71)</f>
      </c>
    </row>
    <row r="4" spans="1:2" x14ac:dyDescent="0.25">
      <c r="A4" t="s">
        <v>3</v>
      </c>
      <c r="B4" s="2"/>
    </row>
    <row r="5" spans="1:2" x14ac:dyDescent="0.25">
      <c r="A5" t="s">
        <v>4</v>
      </c>
      <c r="B5" s="2"/>
    </row>
    <row r="6" spans="1:2" x14ac:dyDescent="0.25">
      <c r="A6" t="s">
        <v>5</v>
      </c>
      <c r="B6" s="2"/>
    </row>
    <row r="7" spans="1:2" x14ac:dyDescent="0.25">
      <c r="A7" t="s">
        <v>6</v>
      </c>
      <c r="B7" s="2"/>
    </row>
    <row r="8" spans="1:2" x14ac:dyDescent="0.25">
      <c r="A8" t="s">
        <v>7</v>
      </c>
      <c r="B8" s="3"/>
    </row>
    <row r="9" spans="1:3" x14ac:dyDescent="0.25">
      <c r="A9" t="s">
        <v>8</v>
      </c>
      <c r="B9" s="2"/>
      <c r="C9" t="s">
        <v>9</v>
      </c>
    </row>
    <row r="10" spans="1:3" x14ac:dyDescent="0.25">
      <c r="A10" t="s">
        <v>10</v>
      </c>
      <c r="B10" s="2"/>
      <c r="C10" t="s">
        <v>11</v>
      </c>
    </row>
    <row r="11" spans="1:2" x14ac:dyDescent="0.25">
      <c r="A11" t="s">
        <v>12</v>
      </c>
      <c r="B11" s="2"/>
    </row>
    <row r="12" spans="1:3" x14ac:dyDescent="0.25">
      <c r="A12" t="s">
        <v>13</v>
      </c>
      <c r="B12" s="2"/>
      <c r="C12" t="s">
        <v>14</v>
      </c>
    </row>
    <row r="13" spans="1:3" x14ac:dyDescent="0.25">
      <c r="A13" t="s">
        <v>15</v>
      </c>
      <c r="B13" s="2"/>
      <c r="C13" t="s">
        <v>16</v>
      </c>
    </row>
    <row r="15" spans="1:7" x14ac:dyDescent="0.25">
      <c r="A15" t="s">
        <v>17</v>
      </c>
      <c r="B15" t="s">
        <v>18</v>
      </c>
      <c r="C15" t="s">
        <v>19</v>
      </c>
      <c r="E15" t="s">
        <v>20</v>
      </c>
      <c r="F15" t="s">
        <v>21</v>
      </c>
      <c r="G15" t="s">
        <v>22</v>
      </c>
    </row>
    <row r="16" spans="2:7" x14ac:dyDescent="0.25">
      <c r="B16" t="s">
        <v>23</v>
      </c>
      <c r="E16" t="s">
        <v>24</v>
      </c>
      <c r="F16" t="s">
        <v>25</v>
      </c>
      <c r="G16" t="s">
        <v>24</v>
      </c>
    </row>
    <row r="17" spans="2:7" x14ac:dyDescent="0.25"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</row>
    <row r="18" spans="3:7" x14ac:dyDescent="0.25">
      <c r="C18" t="s">
        <v>32</v>
      </c>
      <c r="D18" t="s">
        <v>32</v>
      </c>
      <c r="E18" t="s">
        <v>33</v>
      </c>
      <c r="F18" t="s">
        <v>34</v>
      </c>
      <c r="G18" t="s">
        <v>35</v>
      </c>
    </row>
    <row r="19" spans="1:2" x14ac:dyDescent="0.25">
      <c r="A19" t="s">
        <v>36</v>
      </c>
      <c r="B19" s="2"/>
    </row>
    <row r="20" spans="1:2" x14ac:dyDescent="0.25">
      <c r="A20" t="s">
        <v>37</v>
      </c>
      <c r="B20" s="2"/>
    </row>
    <row r="21" spans="1:2" x14ac:dyDescent="0.25">
      <c r="A21" t="s">
        <v>38</v>
      </c>
      <c r="B21" s="2"/>
    </row>
    <row r="22" spans="1:7" x14ac:dyDescent="0.25">
      <c r="A22" t="s">
        <v>39</v>
      </c>
      <c r="C22" s="2"/>
      <c r="D22" s="2"/>
      <c r="E22" s="2"/>
      <c r="F22" s="2"/>
      <c r="G22" s="2"/>
    </row>
    <row r="23" spans="1:7" x14ac:dyDescent="0.25">
      <c r="A23" t="s">
        <v>40</v>
      </c>
      <c r="C23" s="2"/>
      <c r="D23" s="2"/>
      <c r="E23" s="2"/>
      <c r="F23" s="2"/>
      <c r="G23" s="2"/>
    </row>
    <row r="24" spans="1:7" x14ac:dyDescent="0.25">
      <c r="A24" t="s">
        <v>41</v>
      </c>
      <c r="C24" s="2"/>
      <c r="D24" s="2"/>
      <c r="E24" s="2"/>
      <c r="F24" s="2"/>
      <c r="G24" s="2"/>
    </row>
    <row r="25" spans="1:7" x14ac:dyDescent="0.25">
      <c r="A25" t="s">
        <v>42</v>
      </c>
      <c r="C25" s="2"/>
      <c r="D25" s="2"/>
      <c r="E25" s="2"/>
      <c r="F25" s="2"/>
      <c r="G25" s="2"/>
    </row>
    <row r="26" spans="1:7" x14ac:dyDescent="0.25">
      <c r="A26" t="s">
        <v>43</v>
      </c>
      <c r="C26" s="2"/>
      <c r="D26" s="2"/>
      <c r="E26" s="2"/>
      <c r="F26" s="2"/>
      <c r="G26" s="2"/>
    </row>
    <row r="27" spans="5:18" x14ac:dyDescent="0.25">
      <c r="E27" t="s">
        <v>20</v>
      </c>
      <c r="H27" t="s">
        <v>44</v>
      </c>
      <c r="I27">
        <v>2</v>
      </c>
      <c r="J27">
        <v>7</v>
      </c>
      <c r="K27">
        <v>22</v>
      </c>
      <c r="L27">
        <v>70</v>
      </c>
      <c r="M27">
        <v>150</v>
      </c>
      <c r="N27">
        <f>I27</f>
      </c>
      <c r="O27">
        <f>J27</f>
      </c>
      <c r="P27">
        <f>K27</f>
      </c>
      <c r="Q27">
        <f>L27</f>
      </c>
      <c r="R27">
        <f>M27</f>
      </c>
    </row>
    <row r="28" spans="1:18" x14ac:dyDescent="0.25">
      <c r="A28" t="s">
        <v>45</v>
      </c>
      <c r="E28" s="2"/>
      <c r="F28" t="s">
        <v>46</v>
      </c>
      <c r="H28" s="1">
        <v>0.0001</v>
      </c>
      <c r="I28">
        <v>0.2</v>
      </c>
      <c r="J28">
        <v>0.2</v>
      </c>
      <c r="K28">
        <v>0.2</v>
      </c>
      <c r="L28">
        <v>0.2</v>
      </c>
      <c r="M28">
        <v>0.2</v>
      </c>
      <c r="N28">
        <f>$E28*$H28*I28</f>
      </c>
      <c r="O28">
        <f>$E28*$H28*J28</f>
      </c>
      <c r="P28">
        <f>$E28*$H28*K28</f>
      </c>
      <c r="Q28">
        <f>$E28*$H28*L28</f>
      </c>
      <c r="R28">
        <f>$E28*$H28*M28</f>
      </c>
    </row>
    <row r="29" spans="1:18" x14ac:dyDescent="0.25">
      <c r="A29" t="s">
        <v>47</v>
      </c>
      <c r="E29" s="2"/>
      <c r="F29" t="s">
        <v>46</v>
      </c>
      <c r="H29" s="1">
        <v>0.0001</v>
      </c>
      <c r="I29">
        <v>0.2</v>
      </c>
      <c r="J29">
        <v>0.2</v>
      </c>
      <c r="K29">
        <v>0.2</v>
      </c>
      <c r="L29">
        <v>0.2</v>
      </c>
      <c r="M29">
        <v>0.2</v>
      </c>
      <c r="N29">
        <f>$E29*$H29*I29</f>
      </c>
      <c r="O29">
        <f>$E29*$H29*J29</f>
      </c>
      <c r="P29">
        <f>$E29*$H29*K29</f>
      </c>
      <c r="Q29">
        <f>$E29*$H29*L29</f>
      </c>
      <c r="R29">
        <f>$E29*$H29*M29</f>
      </c>
    </row>
    <row r="30" spans="1:18" x14ac:dyDescent="0.25">
      <c r="A30" t="s">
        <v>48</v>
      </c>
      <c r="E30" s="2"/>
      <c r="F30" t="s">
        <v>46</v>
      </c>
      <c r="H30" s="1">
        <v>0.0001</v>
      </c>
      <c r="I30">
        <v>0.2</v>
      </c>
      <c r="J30">
        <v>0.2</v>
      </c>
      <c r="K30">
        <v>0.2</v>
      </c>
      <c r="L30">
        <v>0.2</v>
      </c>
      <c r="M30">
        <v>0.2</v>
      </c>
      <c r="N30">
        <f>$E30*$H30*I30</f>
      </c>
      <c r="O30">
        <f>$E30*$H30*J30</f>
      </c>
      <c r="P30">
        <f>$E30*$H30*K30</f>
      </c>
      <c r="Q30">
        <f>$E30*$H30*L30</f>
      </c>
      <c r="R30">
        <f>$E30*$H30*M30</f>
      </c>
    </row>
    <row r="31" spans="1:18" x14ac:dyDescent="0.25">
      <c r="A31" t="s">
        <v>49</v>
      </c>
      <c r="E31" s="2"/>
      <c r="F31" t="s">
        <v>46</v>
      </c>
      <c r="H31" s="1">
        <v>0.0001</v>
      </c>
      <c r="I31">
        <v>0.2</v>
      </c>
      <c r="J31">
        <v>0.2</v>
      </c>
      <c r="K31">
        <v>0.2</v>
      </c>
      <c r="L31">
        <v>0.2</v>
      </c>
      <c r="M31">
        <v>0.2</v>
      </c>
      <c r="N31">
        <f>$E31*$H31*I31</f>
      </c>
      <c r="O31">
        <f>$E31*$H31*J31</f>
      </c>
      <c r="P31">
        <f>$E31*$H31*K31</f>
      </c>
      <c r="Q31">
        <f>$E31*$H31*L31</f>
      </c>
      <c r="R31">
        <f>$E31*$H31*M31</f>
      </c>
    </row>
    <row r="32" spans="1:18" x14ac:dyDescent="0.25">
      <c r="A32" t="s">
        <v>50</v>
      </c>
      <c r="E32" s="2"/>
      <c r="F32" t="s">
        <v>46</v>
      </c>
      <c r="H32" s="1">
        <v>0.0001</v>
      </c>
      <c r="I32">
        <v>0.2</v>
      </c>
      <c r="J32">
        <v>0.2</v>
      </c>
      <c r="K32">
        <v>0.2</v>
      </c>
      <c r="L32">
        <v>0.2</v>
      </c>
      <c r="M32">
        <v>0.2</v>
      </c>
      <c r="N32">
        <f>$E32*$H32*I32</f>
      </c>
      <c r="O32">
        <f>$E32*$H32*J32</f>
      </c>
      <c r="P32">
        <f>$E32*$H32*K32</f>
      </c>
      <c r="Q32">
        <f>$E32*$H32*L32</f>
      </c>
      <c r="R32">
        <f>$E32*$H32*M32</f>
      </c>
    </row>
    <row r="33" spans="1:18" x14ac:dyDescent="0.25">
      <c r="A33" t="s">
        <v>51</v>
      </c>
      <c r="E33" s="2"/>
      <c r="F33" t="s">
        <v>46</v>
      </c>
      <c r="H33" s="1">
        <v>0.0001</v>
      </c>
      <c r="I33">
        <v>0.2</v>
      </c>
      <c r="J33">
        <v>0.2</v>
      </c>
      <c r="K33">
        <v>0.2</v>
      </c>
      <c r="L33">
        <v>0.2</v>
      </c>
      <c r="M33">
        <v>0.2</v>
      </c>
      <c r="N33">
        <f>$E33*$H33*I33</f>
      </c>
      <c r="O33">
        <f>$E33*$H33*J33</f>
      </c>
      <c r="P33">
        <f>$E33*$H33*K33</f>
      </c>
      <c r="Q33">
        <f>$E33*$H33*L33</f>
      </c>
      <c r="R33">
        <f>$E33*$H33*M33</f>
      </c>
    </row>
    <row r="34" spans="1:18" x14ac:dyDescent="0.25">
      <c r="A34" t="s">
        <v>52</v>
      </c>
      <c r="E34" s="2"/>
      <c r="F34" t="s">
        <v>46</v>
      </c>
      <c r="H34" s="1">
        <v>0.0001</v>
      </c>
      <c r="I34">
        <v>0.2</v>
      </c>
      <c r="J34">
        <v>0.2</v>
      </c>
      <c r="K34">
        <v>0.2</v>
      </c>
      <c r="L34">
        <v>0.2</v>
      </c>
      <c r="M34">
        <v>0.2</v>
      </c>
      <c r="N34">
        <f>$E34*$H34*I34</f>
      </c>
      <c r="O34">
        <f>$E34*$H34*J34</f>
      </c>
      <c r="P34">
        <f>$E34*$H34*K34</f>
      </c>
      <c r="Q34">
        <f>$E34*$H34*L34</f>
      </c>
      <c r="R34">
        <f>$E34*$H34*M34</f>
      </c>
    </row>
    <row r="35" spans="1:18" x14ac:dyDescent="0.25">
      <c r="A35" t="s">
        <v>53</v>
      </c>
      <c r="E35" s="2"/>
      <c r="F35" t="s">
        <v>46</v>
      </c>
      <c r="H35" s="1">
        <v>0.0001</v>
      </c>
      <c r="I35">
        <v>0.2</v>
      </c>
      <c r="J35">
        <v>0.2</v>
      </c>
      <c r="K35">
        <v>0.2</v>
      </c>
      <c r="L35">
        <v>0.2</v>
      </c>
      <c r="M35">
        <v>0.2</v>
      </c>
      <c r="N35">
        <f>$E35*$H35*I35</f>
      </c>
      <c r="O35">
        <f>$E35*$H35*J35</f>
      </c>
      <c r="P35">
        <f>$E35*$H35*K35</f>
      </c>
      <c r="Q35">
        <f>$E35*$H35*L35</f>
      </c>
      <c r="R35">
        <f>$E35*$H35*M35</f>
      </c>
    </row>
    <row r="36" spans="1:18" x14ac:dyDescent="0.25">
      <c r="A36" t="s">
        <v>54</v>
      </c>
      <c r="E36" s="2"/>
      <c r="F36" t="s">
        <v>46</v>
      </c>
      <c r="H36" s="1">
        <v>0.0001</v>
      </c>
      <c r="I36">
        <v>0.2</v>
      </c>
      <c r="J36">
        <v>0.2</v>
      </c>
      <c r="K36">
        <v>0.2</v>
      </c>
      <c r="L36">
        <v>0.2</v>
      </c>
      <c r="M36">
        <v>0.2</v>
      </c>
      <c r="N36">
        <f>$E36*$H36*I36</f>
      </c>
      <c r="O36">
        <f>$E36*$H36*J36</f>
      </c>
      <c r="P36">
        <f>$E36*$H36*K36</f>
      </c>
      <c r="Q36">
        <f>$E36*$H36*L36</f>
      </c>
      <c r="R36">
        <f>$E36*$H36*M36</f>
      </c>
    </row>
    <row r="37" spans="1:18" x14ac:dyDescent="0.25">
      <c r="A37" t="s">
        <v>55</v>
      </c>
      <c r="E37" s="2"/>
      <c r="F37" t="s">
        <v>56</v>
      </c>
      <c r="H37" s="1">
        <v>0.0001</v>
      </c>
      <c r="I37">
        <v>0.2</v>
      </c>
      <c r="J37">
        <v>0.2</v>
      </c>
      <c r="K37">
        <v>0.2</v>
      </c>
      <c r="L37">
        <v>0.2</v>
      </c>
      <c r="M37">
        <v>0.2</v>
      </c>
      <c r="N37">
        <f>$E37*$H37*I37</f>
      </c>
      <c r="O37">
        <f>$E37*$H37*J37</f>
      </c>
      <c r="P37">
        <f>$E37*$H37*K37</f>
      </c>
      <c r="Q37">
        <f>$E37*$H37*L37</f>
      </c>
      <c r="R37">
        <f>$E37*$H37*M37</f>
      </c>
    </row>
    <row r="38" spans="1:18" x14ac:dyDescent="0.25">
      <c r="A38" t="s">
        <v>57</v>
      </c>
      <c r="E38" s="2"/>
      <c r="F38" t="s">
        <v>46</v>
      </c>
      <c r="H38" s="1">
        <v>0.0001</v>
      </c>
      <c r="I38">
        <v>0.2</v>
      </c>
      <c r="J38">
        <v>0.2</v>
      </c>
      <c r="K38">
        <v>0.2</v>
      </c>
      <c r="L38">
        <v>0.2</v>
      </c>
      <c r="M38">
        <v>0.2</v>
      </c>
      <c r="N38">
        <f>$E38*$H38*I38</f>
      </c>
      <c r="O38">
        <f>$E38*$H38*J38</f>
      </c>
      <c r="P38">
        <f>$E38*$H38*K38</f>
      </c>
      <c r="Q38">
        <f>$E38*$H38*L38</f>
      </c>
      <c r="R38">
        <f>$E38*$H38*M38</f>
      </c>
    </row>
    <row r="39" spans="1:18" x14ac:dyDescent="0.25">
      <c r="A39" t="s">
        <v>58</v>
      </c>
      <c r="E39" s="2"/>
      <c r="F39" t="s">
        <v>46</v>
      </c>
      <c r="H39" s="1">
        <v>0.0001</v>
      </c>
      <c r="I39">
        <v>0.2</v>
      </c>
      <c r="J39">
        <v>0.2</v>
      </c>
      <c r="K39">
        <v>0.2</v>
      </c>
      <c r="L39">
        <v>0.2</v>
      </c>
      <c r="M39">
        <v>0.2</v>
      </c>
      <c r="N39">
        <f>$E39*$H39*I39</f>
      </c>
      <c r="O39">
        <f>$E39*$H39*J39</f>
      </c>
      <c r="P39">
        <f>$E39*$H39*K39</f>
      </c>
      <c r="Q39">
        <f>$E39*$H39*L39</f>
      </c>
      <c r="R39">
        <f>$E39*$H39*M39</f>
      </c>
    </row>
    <row r="40" spans="1:18" x14ac:dyDescent="0.25">
      <c r="A40" t="s">
        <v>59</v>
      </c>
      <c r="E40" s="2"/>
      <c r="F40" t="s">
        <v>46</v>
      </c>
      <c r="H40" s="1">
        <v>0.0001</v>
      </c>
      <c r="I40">
        <v>0.2</v>
      </c>
      <c r="J40">
        <v>0.2</v>
      </c>
      <c r="K40">
        <v>0.2</v>
      </c>
      <c r="L40">
        <v>0.2</v>
      </c>
      <c r="M40">
        <v>0.2</v>
      </c>
      <c r="N40">
        <f>$E40*$H40*I40</f>
      </c>
      <c r="O40">
        <f>$E40*$H40*J40</f>
      </c>
      <c r="P40">
        <f>$E40*$H40*K40</f>
      </c>
      <c r="Q40">
        <f>$E40*$H40*L40</f>
      </c>
      <c r="R40">
        <f>$E40*$H40*M40</f>
      </c>
    </row>
    <row r="41" spans="1:18" x14ac:dyDescent="0.25">
      <c r="A41" t="s">
        <v>60</v>
      </c>
      <c r="E41" s="2"/>
      <c r="F41" t="s">
        <v>46</v>
      </c>
      <c r="H41" s="1">
        <v>0.0001</v>
      </c>
      <c r="I41">
        <v>0.2</v>
      </c>
      <c r="J41">
        <v>0.2</v>
      </c>
      <c r="K41">
        <v>0.2</v>
      </c>
      <c r="L41">
        <v>0.2</v>
      </c>
      <c r="M41">
        <v>0.2</v>
      </c>
      <c r="N41">
        <f>$E41*$H41*I41</f>
      </c>
      <c r="O41">
        <f>$E41*$H41*J41</f>
      </c>
      <c r="P41">
        <f>$E41*$H41*K41</f>
      </c>
      <c r="Q41">
        <f>$E41*$H41*L41</f>
      </c>
      <c r="R41">
        <f>$E41*$H41*M41</f>
      </c>
    </row>
    <row r="44" spans="3:18" x14ac:dyDescent="0.25">
      <c r="C44" t="s">
        <v>61</v>
      </c>
      <c r="E44">
        <f>B19</f>
      </c>
      <c r="H44" s="1">
        <v>0.0001</v>
      </c>
      <c r="I44">
        <v>0.2</v>
      </c>
      <c r="J44">
        <v>0.2</v>
      </c>
      <c r="K44">
        <v>0.2</v>
      </c>
      <c r="L44">
        <v>0.2</v>
      </c>
      <c r="M44">
        <v>0.2</v>
      </c>
      <c r="N44">
        <f>$E44*$H44*I44</f>
      </c>
      <c r="O44">
        <f>$E44*$H44*J44</f>
      </c>
      <c r="P44">
        <f>$E44*$H44*K44</f>
      </c>
      <c r="Q44">
        <f>$E44*$H44*L44</f>
      </c>
      <c r="R44">
        <f>$E44*$H44*M44</f>
      </c>
    </row>
    <row r="45" spans="5:18" x14ac:dyDescent="0.25">
      <c r="E45">
        <f>B20</f>
      </c>
      <c r="H45" s="1">
        <v>0.0001</v>
      </c>
      <c r="I45">
        <v>0.2</v>
      </c>
      <c r="J45">
        <v>0.2</v>
      </c>
      <c r="K45">
        <v>0.2</v>
      </c>
      <c r="L45">
        <v>0.2</v>
      </c>
      <c r="M45">
        <v>0.2</v>
      </c>
      <c r="N45">
        <f>$E45*$H45*I45</f>
      </c>
      <c r="O45">
        <f>$E45*$H45*J45</f>
      </c>
      <c r="P45">
        <f>$E45*$H45*K45</f>
      </c>
      <c r="Q45">
        <f>$E45*$H45*L45</f>
      </c>
      <c r="R45">
        <f>$E45*$H45*M45</f>
      </c>
    </row>
    <row r="46" spans="5:18" x14ac:dyDescent="0.25">
      <c r="E46">
        <f>B21</f>
      </c>
      <c r="H46" s="1">
        <v>0.0001</v>
      </c>
      <c r="I46">
        <v>0.2</v>
      </c>
      <c r="J46">
        <v>0.2</v>
      </c>
      <c r="K46">
        <v>0.2</v>
      </c>
      <c r="L46">
        <v>0.2</v>
      </c>
      <c r="M46">
        <v>0.2</v>
      </c>
      <c r="N46">
        <f>$E46*$H46*I46</f>
      </c>
      <c r="O46">
        <f>$E46*$H46*J46</f>
      </c>
      <c r="P46">
        <f>$E46*$H46*K46</f>
      </c>
      <c r="Q46">
        <f>$E46*$H46*L46</f>
      </c>
      <c r="R46">
        <f>$E46*$H46*M46</f>
      </c>
    </row>
    <row r="47" spans="3:18" x14ac:dyDescent="0.25">
      <c r="C47" t="s">
        <v>62</v>
      </c>
      <c r="E47">
        <f>C22</f>
      </c>
      <c r="H47" s="1">
        <v>0.0001</v>
      </c>
      <c r="I47">
        <v>0.2</v>
      </c>
      <c r="J47">
        <v>0.2</v>
      </c>
      <c r="K47">
        <v>0.2</v>
      </c>
      <c r="L47">
        <v>0.2</v>
      </c>
      <c r="M47">
        <v>0.2</v>
      </c>
      <c r="N47">
        <f>$E47*$H47*I47</f>
      </c>
      <c r="O47">
        <f>$E47*$H47*J47</f>
      </c>
      <c r="P47">
        <f>$E47*$H47*K47</f>
      </c>
      <c r="Q47">
        <f>$E47*$H47*L47</f>
      </c>
      <c r="R47">
        <f>$E47*$H47*M47</f>
      </c>
    </row>
    <row r="48" spans="5:18" x14ac:dyDescent="0.25">
      <c r="E48">
        <f>C23</f>
      </c>
      <c r="H48" s="1">
        <v>0.0001</v>
      </c>
      <c r="I48">
        <v>0.2</v>
      </c>
      <c r="J48">
        <v>0.2</v>
      </c>
      <c r="K48">
        <v>0.2</v>
      </c>
      <c r="L48">
        <v>0.2</v>
      </c>
      <c r="M48">
        <v>0.2</v>
      </c>
      <c r="N48">
        <f>$E48*$H48*I48</f>
      </c>
      <c r="O48">
        <f>$E48*$H48*J48</f>
      </c>
      <c r="P48">
        <f>$E48*$H48*K48</f>
      </c>
      <c r="Q48">
        <f>$E48*$H48*L48</f>
      </c>
      <c r="R48">
        <f>$E48*$H48*M48</f>
      </c>
    </row>
    <row r="49" spans="5:18" x14ac:dyDescent="0.25">
      <c r="E49">
        <f>C24</f>
      </c>
      <c r="H49" s="1">
        <v>0.0001</v>
      </c>
      <c r="I49">
        <v>0.2</v>
      </c>
      <c r="J49">
        <v>0.2</v>
      </c>
      <c r="K49">
        <v>0.2</v>
      </c>
      <c r="L49">
        <v>0.2</v>
      </c>
      <c r="M49">
        <v>0.2</v>
      </c>
      <c r="N49">
        <f>$E49*$H49*I49</f>
      </c>
      <c r="O49">
        <f>$E49*$H49*J49</f>
      </c>
      <c r="P49">
        <f>$E49*$H49*K49</f>
      </c>
      <c r="Q49">
        <f>$E49*$H49*L49</f>
      </c>
      <c r="R49">
        <f>$E49*$H49*M49</f>
      </c>
    </row>
    <row r="50" spans="5:18" x14ac:dyDescent="0.25">
      <c r="E50">
        <f>C25</f>
      </c>
      <c r="H50" s="1">
        <v>0.0001</v>
      </c>
      <c r="I50">
        <v>0.2</v>
      </c>
      <c r="J50">
        <v>0.2</v>
      </c>
      <c r="K50">
        <v>0.2</v>
      </c>
      <c r="L50">
        <v>0.2</v>
      </c>
      <c r="M50">
        <v>0.2</v>
      </c>
      <c r="N50">
        <f>$E50*$H50*I50</f>
      </c>
      <c r="O50">
        <f>$E50*$H50*J50</f>
      </c>
      <c r="P50">
        <f>$E50*$H50*K50</f>
      </c>
      <c r="Q50">
        <f>$E50*$H50*L50</f>
      </c>
      <c r="R50">
        <f>$E50*$H50*M50</f>
      </c>
    </row>
    <row r="51" spans="5:18" x14ac:dyDescent="0.25">
      <c r="E51">
        <f>C26</f>
      </c>
      <c r="H51" s="1">
        <v>0.0001</v>
      </c>
      <c r="I51">
        <v>0.2</v>
      </c>
      <c r="J51">
        <v>0.2</v>
      </c>
      <c r="K51">
        <v>0.2</v>
      </c>
      <c r="L51">
        <v>0.2</v>
      </c>
      <c r="M51">
        <v>0.2</v>
      </c>
      <c r="N51">
        <f>$E51*$H51*I51</f>
      </c>
      <c r="O51">
        <f>$E51*$H51*J51</f>
      </c>
      <c r="P51">
        <f>$E51*$H51*K51</f>
      </c>
      <c r="Q51">
        <f>$E51*$H51*L51</f>
      </c>
      <c r="R51">
        <f>$E51*$H51*M51</f>
      </c>
    </row>
    <row r="52" spans="3:18" x14ac:dyDescent="0.25">
      <c r="C52" t="s">
        <v>63</v>
      </c>
      <c r="E52">
        <f>D22</f>
      </c>
      <c r="H52" s="1">
        <v>0.0001</v>
      </c>
      <c r="I52">
        <v>0.2</v>
      </c>
      <c r="J52">
        <v>0.2</v>
      </c>
      <c r="K52">
        <v>0.2</v>
      </c>
      <c r="L52">
        <v>0.2</v>
      </c>
      <c r="M52">
        <v>0.2</v>
      </c>
      <c r="N52">
        <f>$E52*$H52*I52</f>
      </c>
      <c r="O52">
        <f>$E52*$H52*J52</f>
      </c>
      <c r="P52">
        <f>$E52*$H52*K52</f>
      </c>
      <c r="Q52">
        <f>$E52*$H52*L52</f>
      </c>
      <c r="R52">
        <f>$E52*$H52*M52</f>
      </c>
    </row>
    <row r="53" spans="5:18" x14ac:dyDescent="0.25">
      <c r="E53">
        <f>D23</f>
      </c>
      <c r="H53" s="1">
        <v>0.0001</v>
      </c>
      <c r="I53">
        <v>0.2</v>
      </c>
      <c r="J53">
        <v>0.2</v>
      </c>
      <c r="K53">
        <v>0.2</v>
      </c>
      <c r="L53">
        <v>0.2</v>
      </c>
      <c r="M53">
        <v>0.2</v>
      </c>
      <c r="N53">
        <f>$E53*$H53*I53</f>
      </c>
      <c r="O53">
        <f>$E53*$H53*J53</f>
      </c>
      <c r="P53">
        <f>$E53*$H53*K53</f>
      </c>
      <c r="Q53">
        <f>$E53*$H53*L53</f>
      </c>
      <c r="R53">
        <f>$E53*$H53*M53</f>
      </c>
    </row>
    <row r="54" spans="5:18" x14ac:dyDescent="0.25">
      <c r="E54">
        <f>D24</f>
      </c>
      <c r="H54" s="1">
        <v>0.0001</v>
      </c>
      <c r="I54">
        <v>0.2</v>
      </c>
      <c r="J54">
        <v>0.2</v>
      </c>
      <c r="K54">
        <v>0.2</v>
      </c>
      <c r="L54">
        <v>0.2</v>
      </c>
      <c r="M54">
        <v>0.2</v>
      </c>
      <c r="N54">
        <f>$E54*$H54*I54</f>
      </c>
      <c r="O54">
        <f>$E54*$H54*J54</f>
      </c>
      <c r="P54">
        <f>$E54*$H54*K54</f>
      </c>
      <c r="Q54">
        <f>$E54*$H54*L54</f>
      </c>
      <c r="R54">
        <f>$E54*$H54*M54</f>
      </c>
    </row>
    <row r="55" spans="5:18" x14ac:dyDescent="0.25">
      <c r="E55">
        <f>D25</f>
      </c>
      <c r="H55" s="1">
        <v>0.0001</v>
      </c>
      <c r="I55">
        <v>0.2</v>
      </c>
      <c r="J55">
        <v>0.2</v>
      </c>
      <c r="K55">
        <v>0.2</v>
      </c>
      <c r="L55">
        <v>0.2</v>
      </c>
      <c r="M55">
        <v>0.2</v>
      </c>
      <c r="N55">
        <f>$E55*$H55*I55</f>
      </c>
      <c r="O55">
        <f>$E55*$H55*J55</f>
      </c>
      <c r="P55">
        <f>$E55*$H55*K55</f>
      </c>
      <c r="Q55">
        <f>$E55*$H55*L55</f>
      </c>
      <c r="R55">
        <f>$E55*$H55*M55</f>
      </c>
    </row>
    <row r="56" spans="5:18" x14ac:dyDescent="0.25">
      <c r="E56">
        <f>D26</f>
      </c>
      <c r="H56" s="1">
        <v>0.0001</v>
      </c>
      <c r="I56">
        <v>0.2</v>
      </c>
      <c r="J56">
        <v>0.2</v>
      </c>
      <c r="K56">
        <v>0.2</v>
      </c>
      <c r="L56">
        <v>0.2</v>
      </c>
      <c r="M56">
        <v>0.2</v>
      </c>
      <c r="N56">
        <f>$E56*$H56*I56</f>
      </c>
      <c r="O56">
        <f>$E56*$H56*J56</f>
      </c>
      <c r="P56">
        <f>$E56*$H56*K56</f>
      </c>
      <c r="Q56">
        <f>$E56*$H56*L56</f>
      </c>
      <c r="R56">
        <f>$E56*$H56*M56</f>
      </c>
    </row>
    <row r="57" spans="3:18" x14ac:dyDescent="0.25">
      <c r="C57" t="s">
        <v>29</v>
      </c>
      <c r="E57">
        <f>E22</f>
      </c>
      <c r="H57" s="1">
        <v>0.0001</v>
      </c>
      <c r="I57">
        <v>0.2</v>
      </c>
      <c r="J57">
        <v>0.2</v>
      </c>
      <c r="K57">
        <v>0.2</v>
      </c>
      <c r="L57">
        <v>0.2</v>
      </c>
      <c r="M57">
        <v>0.2</v>
      </c>
      <c r="N57">
        <f>$E57*$H57*I57</f>
      </c>
      <c r="O57">
        <f>$E57*$H57*J57</f>
      </c>
      <c r="P57">
        <f>$E57*$H57*K57</f>
      </c>
      <c r="Q57">
        <f>$E57*$H57*L57</f>
      </c>
      <c r="R57">
        <f>$E57*$H57*M57</f>
      </c>
    </row>
    <row r="58" spans="5:18" x14ac:dyDescent="0.25">
      <c r="E58">
        <f>E23</f>
      </c>
      <c r="H58" s="1">
        <v>0.0001</v>
      </c>
      <c r="I58">
        <v>0.2</v>
      </c>
      <c r="J58">
        <v>0.2</v>
      </c>
      <c r="K58">
        <v>0.2</v>
      </c>
      <c r="L58">
        <v>0.2</v>
      </c>
      <c r="M58">
        <v>0.2</v>
      </c>
      <c r="N58">
        <f>$E58*$H58*I58</f>
      </c>
      <c r="O58">
        <f>$E58*$H58*J58</f>
      </c>
      <c r="P58">
        <f>$E58*$H58*K58</f>
      </c>
      <c r="Q58">
        <f>$E58*$H58*L58</f>
      </c>
      <c r="R58">
        <f>$E58*$H58*M58</f>
      </c>
    </row>
    <row r="59" spans="5:18" x14ac:dyDescent="0.25">
      <c r="E59">
        <f>E24</f>
      </c>
      <c r="H59" s="1">
        <v>0.0001</v>
      </c>
      <c r="I59">
        <v>0.2</v>
      </c>
      <c r="J59">
        <v>0.2</v>
      </c>
      <c r="K59">
        <v>0.2</v>
      </c>
      <c r="L59">
        <v>0.2</v>
      </c>
      <c r="M59">
        <v>0.2</v>
      </c>
      <c r="N59">
        <f>$E59*$H59*I59</f>
      </c>
      <c r="O59">
        <f>$E59*$H59*J59</f>
      </c>
      <c r="P59">
        <f>$E59*$H59*K59</f>
      </c>
      <c r="Q59">
        <f>$E59*$H59*L59</f>
      </c>
      <c r="R59">
        <f>$E59*$H59*M59</f>
      </c>
    </row>
    <row r="60" spans="5:18" x14ac:dyDescent="0.25">
      <c r="E60">
        <f>E25</f>
      </c>
      <c r="H60" s="1">
        <v>0.0001</v>
      </c>
      <c r="I60">
        <v>0.2</v>
      </c>
      <c r="J60">
        <v>0.2</v>
      </c>
      <c r="K60">
        <v>0.2</v>
      </c>
      <c r="L60">
        <v>0.2</v>
      </c>
      <c r="M60">
        <v>0.2</v>
      </c>
      <c r="N60">
        <f>$E60*$H60*I60</f>
      </c>
      <c r="O60">
        <f>$E60*$H60*J60</f>
      </c>
      <c r="P60">
        <f>$E60*$H60*K60</f>
      </c>
      <c r="Q60">
        <f>$E60*$H60*L60</f>
      </c>
      <c r="R60">
        <f>$E60*$H60*M60</f>
      </c>
    </row>
    <row r="61" spans="5:18" x14ac:dyDescent="0.25">
      <c r="E61">
        <f>E26</f>
      </c>
      <c r="H61" s="1">
        <v>0.0001</v>
      </c>
      <c r="I61">
        <v>0.2</v>
      </c>
      <c r="J61">
        <v>0.2</v>
      </c>
      <c r="K61">
        <v>0.2</v>
      </c>
      <c r="L61">
        <v>0.2</v>
      </c>
      <c r="M61">
        <v>0.2</v>
      </c>
      <c r="N61">
        <f>$E61*$H61*I61</f>
      </c>
      <c r="O61">
        <f>$E61*$H61*J61</f>
      </c>
      <c r="P61">
        <f>$E61*$H61*K61</f>
      </c>
      <c r="Q61">
        <f>$E61*$H61*L61</f>
      </c>
      <c r="R61">
        <f>$E61*$H61*M61</f>
      </c>
    </row>
    <row r="62" spans="3:18" x14ac:dyDescent="0.25">
      <c r="C62" t="s">
        <v>64</v>
      </c>
      <c r="E62">
        <f>F22</f>
      </c>
      <c r="H62" s="1">
        <v>0.0001</v>
      </c>
      <c r="I62">
        <v>0.2</v>
      </c>
      <c r="J62">
        <v>0.2</v>
      </c>
      <c r="K62">
        <v>0.2</v>
      </c>
      <c r="L62">
        <v>0.2</v>
      </c>
      <c r="M62">
        <v>0.2</v>
      </c>
      <c r="N62">
        <f>$E62*$H62*I62</f>
      </c>
      <c r="O62">
        <f>$E62*$H62*J62</f>
      </c>
      <c r="P62">
        <f>$E62*$H62*K62</f>
      </c>
      <c r="Q62">
        <f>$E62*$H62*L62</f>
      </c>
      <c r="R62">
        <f>$E62*$H62*M62</f>
      </c>
    </row>
    <row r="63" spans="5:18" x14ac:dyDescent="0.25">
      <c r="E63">
        <f>F23</f>
      </c>
      <c r="H63" s="1">
        <v>0.0001</v>
      </c>
      <c r="I63">
        <v>0.2</v>
      </c>
      <c r="J63">
        <v>0.2</v>
      </c>
      <c r="K63">
        <v>0.2</v>
      </c>
      <c r="L63">
        <v>0.2</v>
      </c>
      <c r="M63">
        <v>0.2</v>
      </c>
      <c r="N63">
        <f>$E63*$H63*I63</f>
      </c>
      <c r="O63">
        <f>$E63*$H63*J63</f>
      </c>
      <c r="P63">
        <f>$E63*$H63*K63</f>
      </c>
      <c r="Q63">
        <f>$E63*$H63*L63</f>
      </c>
      <c r="R63">
        <f>$E63*$H63*M63</f>
      </c>
    </row>
    <row r="64" spans="5:18" x14ac:dyDescent="0.25">
      <c r="E64">
        <f>F24</f>
      </c>
      <c r="H64" s="1">
        <v>0.0001</v>
      </c>
      <c r="I64">
        <v>0.2</v>
      </c>
      <c r="J64">
        <v>0.2</v>
      </c>
      <c r="K64">
        <v>0.2</v>
      </c>
      <c r="L64">
        <v>0.2</v>
      </c>
      <c r="M64">
        <v>0.2</v>
      </c>
      <c r="N64">
        <f>$E64*$H64*I64</f>
      </c>
      <c r="O64">
        <f>$E64*$H64*J64</f>
      </c>
      <c r="P64">
        <f>$E64*$H64*K64</f>
      </c>
      <c r="Q64">
        <f>$E64*$H64*L64</f>
      </c>
      <c r="R64">
        <f>$E64*$H64*M64</f>
      </c>
    </row>
    <row r="65" spans="5:18" x14ac:dyDescent="0.25">
      <c r="E65">
        <f>F25</f>
      </c>
      <c r="H65" s="1">
        <v>0.0001</v>
      </c>
      <c r="I65">
        <v>0.2</v>
      </c>
      <c r="J65">
        <v>0.2</v>
      </c>
      <c r="K65">
        <v>0.2</v>
      </c>
      <c r="L65">
        <v>0.2</v>
      </c>
      <c r="M65">
        <v>0.2</v>
      </c>
      <c r="N65">
        <f>$E65*$H65*I65</f>
      </c>
      <c r="O65">
        <f>$E65*$H65*J65</f>
      </c>
      <c r="P65">
        <f>$E65*$H65*K65</f>
      </c>
      <c r="Q65">
        <f>$E65*$H65*L65</f>
      </c>
      <c r="R65">
        <f>$E65*$H65*M65</f>
      </c>
    </row>
    <row r="66" spans="5:18" x14ac:dyDescent="0.25">
      <c r="E66">
        <f>F26</f>
      </c>
      <c r="H66" s="1">
        <v>0.0001</v>
      </c>
      <c r="I66">
        <v>0.2</v>
      </c>
      <c r="J66">
        <v>0.2</v>
      </c>
      <c r="K66">
        <v>0.2</v>
      </c>
      <c r="L66">
        <v>0.2</v>
      </c>
      <c r="M66">
        <v>0.2</v>
      </c>
      <c r="N66">
        <f>$E66*$H66*I66</f>
      </c>
      <c r="O66">
        <f>$E66*$H66*J66</f>
      </c>
      <c r="P66">
        <f>$E66*$H66*K66</f>
      </c>
      <c r="Q66">
        <f>$E66*$H66*L66</f>
      </c>
      <c r="R66">
        <f>$E66*$H66*M66</f>
      </c>
    </row>
    <row r="67" spans="3:18" x14ac:dyDescent="0.25">
      <c r="C67" t="s">
        <v>65</v>
      </c>
      <c r="E67">
        <f>G22</f>
      </c>
      <c r="H67" s="1">
        <v>0.0001</v>
      </c>
      <c r="I67">
        <v>0.2</v>
      </c>
      <c r="J67">
        <v>0.2</v>
      </c>
      <c r="K67">
        <v>0.2</v>
      </c>
      <c r="L67">
        <v>0.2</v>
      </c>
      <c r="M67">
        <v>0.2</v>
      </c>
      <c r="N67">
        <f>$E67*$H67*I67</f>
      </c>
      <c r="O67">
        <f>$E67*$H67*J67</f>
      </c>
      <c r="P67">
        <f>$E67*$H67*K67</f>
      </c>
      <c r="Q67">
        <f>$E67*$H67*L67</f>
      </c>
      <c r="R67">
        <f>$E67*$H67*M67</f>
      </c>
    </row>
    <row r="68" spans="5:18" x14ac:dyDescent="0.25">
      <c r="E68">
        <f>G23</f>
      </c>
      <c r="H68" s="1">
        <v>0.0001</v>
      </c>
      <c r="I68">
        <v>0.2</v>
      </c>
      <c r="J68">
        <v>0.2</v>
      </c>
      <c r="K68">
        <v>0.2</v>
      </c>
      <c r="L68">
        <v>0.2</v>
      </c>
      <c r="M68">
        <v>0.2</v>
      </c>
      <c r="N68">
        <f>$E68*$H68*I68</f>
      </c>
      <c r="O68">
        <f>$E68*$H68*J68</f>
      </c>
      <c r="P68">
        <f>$E68*$H68*K68</f>
      </c>
      <c r="Q68">
        <f>$E68*$H68*L68</f>
      </c>
      <c r="R68">
        <f>$E68*$H68*M68</f>
      </c>
    </row>
    <row r="69" spans="5:18" x14ac:dyDescent="0.25">
      <c r="E69">
        <f>G24</f>
      </c>
      <c r="H69" s="1">
        <v>0.0001</v>
      </c>
      <c r="I69">
        <v>0.2</v>
      </c>
      <c r="J69">
        <v>0.2</v>
      </c>
      <c r="K69">
        <v>0.2</v>
      </c>
      <c r="L69">
        <v>0.2</v>
      </c>
      <c r="M69">
        <v>0.2</v>
      </c>
      <c r="N69">
        <f>$E69*$H69*I69</f>
      </c>
      <c r="O69">
        <f>$E69*$H69*J69</f>
      </c>
      <c r="P69">
        <f>$E69*$H69*K69</f>
      </c>
      <c r="Q69">
        <f>$E69*$H69*L69</f>
      </c>
      <c r="R69">
        <f>$E69*$H69*M69</f>
      </c>
    </row>
    <row r="70" spans="5:18" x14ac:dyDescent="0.25">
      <c r="E70">
        <f>G25</f>
      </c>
      <c r="H70" s="1">
        <v>0.0001</v>
      </c>
      <c r="I70">
        <v>0.2</v>
      </c>
      <c r="J70">
        <v>0.2</v>
      </c>
      <c r="K70">
        <v>0.2</v>
      </c>
      <c r="L70">
        <v>0.2</v>
      </c>
      <c r="M70">
        <v>0.2</v>
      </c>
      <c r="N70">
        <f>$E70*$H70*I70</f>
      </c>
      <c r="O70">
        <f>$E70*$H70*J70</f>
      </c>
      <c r="P70">
        <f>$E70*$H70*K70</f>
      </c>
      <c r="Q70">
        <f>$E70*$H70*L70</f>
      </c>
      <c r="R70">
        <f>$E70*$H70*M70</f>
      </c>
    </row>
    <row r="71" spans="5:18" x14ac:dyDescent="0.25">
      <c r="E71">
        <f>G26</f>
      </c>
      <c r="H71" s="1">
        <v>0.0001</v>
      </c>
      <c r="I71">
        <v>0.2</v>
      </c>
      <c r="J71">
        <v>0.2</v>
      </c>
      <c r="K71">
        <v>0.2</v>
      </c>
      <c r="L71">
        <v>0.2</v>
      </c>
      <c r="M71">
        <v>0.2</v>
      </c>
      <c r="N71">
        <f>$E71*$H71*I71</f>
      </c>
      <c r="O71">
        <f>$E71*$H71*J71</f>
      </c>
      <c r="P71">
        <f>$E71*$H71*K71</f>
      </c>
      <c r="Q71">
        <f>$E71*$H71*L71</f>
      </c>
      <c r="R71">
        <f>$E71*$H71*M71</f>
      </c>
    </row>
    <row r="72" spans="1:7" x14ac:dyDescent="0.25">
      <c r="A72" t="s">
        <v>66</v>
      </c>
      <c r="B72" s="2"/>
      <c r="C72" s="2"/>
      <c r="D72" s="2"/>
      <c r="E72" s="2"/>
      <c r="F72" s="2"/>
      <c r="G72" s="2"/>
    </row>
    <row r="73" spans="2:7" x14ac:dyDescent="0.25">
      <c r="B73" s="2"/>
      <c r="C73" s="2"/>
      <c r="D73" s="2"/>
      <c r="E73" s="2"/>
      <c r="F73" s="2"/>
      <c r="G73" s="2"/>
    </row>
    <row r="74" spans="2:19" x14ac:dyDescent="0.25">
      <c r="B74" s="2"/>
      <c r="C74" s="2"/>
      <c r="D74" s="2"/>
      <c r="E74" s="2"/>
      <c r="F74" s="2"/>
      <c r="G74" s="2"/>
      <c r="S74" t="s">
        <v>67</v>
      </c>
    </row>
    <row r="75" spans="2:19" x14ac:dyDescent="0.25">
      <c r="B75" s="2"/>
      <c r="C75" s="2"/>
      <c r="D75" s="2"/>
      <c r="E75" s="2"/>
      <c r="F75" s="2"/>
      <c r="G75" s="2"/>
      <c r="S75" t="s">
        <v>68</v>
      </c>
    </row>
    <row r="76" spans="2:7" x14ac:dyDescent="0.25">
      <c r="B76" s="2"/>
      <c r="C76" s="2"/>
      <c r="D76" s="2"/>
      <c r="E76" s="2"/>
      <c r="F76" s="2"/>
      <c r="G76" s="2"/>
    </row>
    <row r="77" spans="2:7" x14ac:dyDescent="0.25">
      <c r="B77" s="2"/>
      <c r="C77" s="2"/>
      <c r="D77" s="2"/>
      <c r="E77" s="2"/>
      <c r="F77" s="2"/>
      <c r="G77" s="2"/>
    </row>
  </sheetData>
  <sheetProtection sheet="1" formatCells="0" formatColumns="0" formatRows="0" algorithmName="SHA-512" hashValue="cR+4gB3uqTLjU5cc9WLXebBS9QpSrHABBnRTDji5AR5TmpXzmaVh1m3lZzWGg2YnAzQWSWcinTTxJx/jhEk6Kg==" saltValue="RidlzaA6nbCeq6O3LyUaEg==" spinCount="100000"/>
  <mergeCells count="6">
    <mergeCell ref="B72:G72"/>
    <mergeCell ref="B73:G73"/>
    <mergeCell ref="B74:G74"/>
    <mergeCell ref="B75:G75"/>
    <mergeCell ref="B76:G76"/>
    <mergeCell ref="B77:G77"/>
  </mergeCells>
  <dataValidations count="1">
    <dataValidation type="list" allowBlank="1" showErrorMessage="1" sqref="B11">
      <formula1>$S$74:$S$75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PartsCountSheet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fixture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